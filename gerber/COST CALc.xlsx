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kicad\tac5212_audio_board_single_ended\gerber\"/>
    </mc:Choice>
  </mc:AlternateContent>
  <xr:revisionPtr revIDLastSave="0" documentId="8_{18144E70-2823-4B3C-A6DE-795DF7BB6D1C}" xr6:coauthVersionLast="47" xr6:coauthVersionMax="47" xr10:uidLastSave="{00000000-0000-0000-0000-000000000000}"/>
  <bookViews>
    <workbookView xWindow="28680" yWindow="-120" windowWidth="29040" windowHeight="15840" xr2:uid="{0F311344-E2A0-4BDB-AFC6-141799A99E55}"/>
  </bookViews>
  <sheets>
    <sheet name="TAC5212" sheetId="1" r:id="rId1"/>
    <sheet name="TAC511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F9" i="1"/>
  <c r="E9" i="1"/>
  <c r="D9" i="1"/>
  <c r="C9" i="1"/>
  <c r="B9" i="1"/>
  <c r="C9" i="2"/>
  <c r="D9" i="2"/>
  <c r="E9" i="2"/>
  <c r="F9" i="2"/>
  <c r="G9" i="2"/>
  <c r="B9" i="2"/>
  <c r="G7" i="1"/>
  <c r="F7" i="1"/>
  <c r="E7" i="1"/>
  <c r="D7" i="1"/>
  <c r="C7" i="1"/>
  <c r="B7" i="1"/>
  <c r="C7" i="2"/>
  <c r="D7" i="2"/>
  <c r="E7" i="2"/>
  <c r="F7" i="2"/>
  <c r="G7" i="2"/>
  <c r="B7" i="2"/>
</calcChain>
</file>

<file path=xl/sharedStrings.xml><?xml version="1.0" encoding="utf-8"?>
<sst xmlns="http://schemas.openxmlformats.org/spreadsheetml/2006/main" count="22" uniqueCount="11">
  <si>
    <t>Items</t>
  </si>
  <si>
    <t>1 quantity price</t>
  </si>
  <si>
    <t>100 price</t>
  </si>
  <si>
    <t>500 price</t>
  </si>
  <si>
    <t>1000 price</t>
  </si>
  <si>
    <t>components</t>
  </si>
  <si>
    <t>tacXXXX</t>
  </si>
  <si>
    <t>board</t>
  </si>
  <si>
    <t>assembly</t>
  </si>
  <si>
    <t>Total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</si>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</sst>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555555"/>
      <name val="Arial Nov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41992-FDBF-4601-8D9C-6A592C82BEE1}">
  <dimension ref="A1:G9"/>
  <sheetViews>
    <sheetView tabSelected="1" workbookViewId="0">
      <selection activeCell="E14" sqref="E14"/>
    </sheetView>
  </sheetViews>
  <sheetFormatPr defaultColWidth="18.28515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2000</v>
      </c>
      <c r="G1">
        <v>3000</v>
      </c>
    </row>
    <row r="2" spans="1:7" x14ac:dyDescent="0.25">
      <c r="A2" t="s">
        <v>5</v>
      </c>
      <c r="B2">
        <v>15.53</v>
      </c>
      <c r="C2">
        <v>5.09</v>
      </c>
      <c r="D2">
        <v>3.48</v>
      </c>
      <c r="E2">
        <v>3.19</v>
      </c>
      <c r="F2">
        <v>2.98</v>
      </c>
      <c r="G2">
        <v>2.84</v>
      </c>
    </row>
    <row r="3" spans="1:7" x14ac:dyDescent="0.25">
      <c r="A3" t="s">
        <v>6</v>
      </c>
      <c r="B3" s="1">
        <v>9.2390000000000008</v>
      </c>
      <c r="C3" s="1">
        <v>8.0960000000000001</v>
      </c>
      <c r="D3" s="1">
        <v>5.6760000000000002</v>
      </c>
      <c r="E3" s="1">
        <v>4.5739999999999998</v>
      </c>
      <c r="F3" s="1">
        <v>4.5739999999999998</v>
      </c>
      <c r="G3" s="1">
        <v>4.5739999999999998</v>
      </c>
    </row>
    <row r="4" spans="1:7" x14ac:dyDescent="0.25">
      <c r="A4" t="s">
        <v>7</v>
      </c>
      <c r="B4">
        <v>2</v>
      </c>
      <c r="C4">
        <v>0.33</v>
      </c>
      <c r="D4">
        <v>0.08</v>
      </c>
      <c r="E4">
        <v>0.08</v>
      </c>
      <c r="F4">
        <v>0.08</v>
      </c>
      <c r="G4">
        <v>0.08</v>
      </c>
    </row>
    <row r="5" spans="1:7" x14ac:dyDescent="0.25">
      <c r="A5" t="s">
        <v>8</v>
      </c>
    </row>
    <row r="7" spans="1:7" x14ac:dyDescent="0.25">
      <c r="A7" t="s">
        <v>9</v>
      </c>
      <c r="B7">
        <f>SUM(B2:B6)</f>
        <v>26.768999999999998</v>
      </c>
      <c r="C7">
        <f t="shared" ref="C7:G7" si="0">SUM(C2:C6)</f>
        <v>13.516</v>
      </c>
      <c r="D7">
        <f t="shared" si="0"/>
        <v>9.2360000000000007</v>
      </c>
      <c r="E7">
        <f t="shared" si="0"/>
        <v>7.8439999999999994</v>
      </c>
      <c r="F7">
        <f t="shared" si="0"/>
        <v>7.6340000000000003</v>
      </c>
      <c r="G7">
        <f t="shared" si="0"/>
        <v>7.4939999999999998</v>
      </c>
    </row>
    <row r="9" spans="1:7" x14ac:dyDescent="0.25">
      <c r="A9" t="s">
        <v>10</v>
      </c>
      <c r="B9">
        <f>SUM(B7*4)</f>
        <v>107.07599999999999</v>
      </c>
      <c r="C9">
        <f t="shared" ref="C9:G9" si="1">SUM(C7*4)</f>
        <v>54.064</v>
      </c>
      <c r="D9">
        <f t="shared" si="1"/>
        <v>36.944000000000003</v>
      </c>
      <c r="E9">
        <f t="shared" si="1"/>
        <v>31.375999999999998</v>
      </c>
      <c r="F9">
        <f t="shared" si="1"/>
        <v>30.536000000000001</v>
      </c>
      <c r="G9">
        <f t="shared" si="1"/>
        <v>29.975999999999999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3F96C-20DE-4CA3-B1FE-49B6EE3A30AF}">
  <dimension ref="A1:G9"/>
  <sheetViews>
    <sheetView workbookViewId="0">
      <selection activeCell="G13" sqref="G13"/>
    </sheetView>
  </sheetViews>
  <sheetFormatPr defaultColWidth="18.28515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2000</v>
      </c>
      <c r="G1">
        <v>3000</v>
      </c>
    </row>
    <row r="2" spans="1:7" x14ac:dyDescent="0.25">
      <c r="A2" t="s">
        <v>5</v>
      </c>
      <c r="B2">
        <v>15.53</v>
      </c>
      <c r="C2">
        <v>5.09</v>
      </c>
      <c r="D2">
        <v>3.48</v>
      </c>
      <c r="E2">
        <v>3.19</v>
      </c>
      <c r="F2">
        <v>2.98</v>
      </c>
      <c r="G2">
        <v>2.84</v>
      </c>
    </row>
    <row r="3" spans="1:7" x14ac:dyDescent="0.25">
      <c r="A3" t="s">
        <v>6</v>
      </c>
      <c r="B3" s="1">
        <v>4.4480000000000004</v>
      </c>
      <c r="C3" s="1">
        <v>3.8980000000000001</v>
      </c>
      <c r="D3" s="1">
        <v>2.7330000000000001</v>
      </c>
      <c r="E3" s="1">
        <v>2.202</v>
      </c>
      <c r="F3" s="1">
        <v>2.202</v>
      </c>
      <c r="G3" s="1">
        <v>2.202</v>
      </c>
    </row>
    <row r="4" spans="1:7" x14ac:dyDescent="0.25">
      <c r="A4" t="s">
        <v>7</v>
      </c>
      <c r="B4">
        <v>2</v>
      </c>
      <c r="C4">
        <v>0.33</v>
      </c>
      <c r="D4">
        <v>0.08</v>
      </c>
      <c r="E4">
        <v>0.08</v>
      </c>
      <c r="F4">
        <v>0.08</v>
      </c>
      <c r="G4">
        <v>0.08</v>
      </c>
    </row>
    <row r="5" spans="1:7" x14ac:dyDescent="0.25">
      <c r="A5" t="s">
        <v>8</v>
      </c>
    </row>
    <row r="7" spans="1:7" x14ac:dyDescent="0.25">
      <c r="A7" t="s">
        <v>9</v>
      </c>
      <c r="B7">
        <f>SUM(B2:B6)</f>
        <v>21.978000000000002</v>
      </c>
      <c r="C7">
        <f t="shared" ref="C7:G7" si="0">SUM(C2:C6)</f>
        <v>9.3179999999999996</v>
      </c>
      <c r="D7">
        <f t="shared" si="0"/>
        <v>6.2930000000000001</v>
      </c>
      <c r="E7">
        <f t="shared" si="0"/>
        <v>5.4719999999999995</v>
      </c>
      <c r="F7">
        <f t="shared" si="0"/>
        <v>5.2620000000000005</v>
      </c>
      <c r="G7">
        <f t="shared" si="0"/>
        <v>5.1219999999999999</v>
      </c>
    </row>
    <row r="9" spans="1:7" x14ac:dyDescent="0.25">
      <c r="A9" t="s">
        <v>10</v>
      </c>
      <c r="B9">
        <f>SUM(B7*4)</f>
        <v>87.912000000000006</v>
      </c>
      <c r="C9">
        <f t="shared" ref="C9:G9" si="1">SUM(C7*4)</f>
        <v>37.271999999999998</v>
      </c>
      <c r="D9">
        <f t="shared" si="1"/>
        <v>25.172000000000001</v>
      </c>
      <c r="E9">
        <f t="shared" si="1"/>
        <v>21.887999999999998</v>
      </c>
      <c r="F9">
        <f t="shared" si="1"/>
        <v>21.048000000000002</v>
      </c>
      <c r="G9">
        <f t="shared" si="1"/>
        <v>20.488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TAC5212</vt:lpstr>
      <vt:lpstr>TAC5112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Shoemaker</dc:creator>
  <cp:lastModifiedBy>Jay Shoemaker</cp:lastModifiedBy>
  <dcterms:created xsi:type="dcterms:W3CDTF">2024-04-07T12:42:05Z</dcterms:created>
  <dcterms:modified xsi:type="dcterms:W3CDTF">2024-04-07T14:29:29Z</dcterms:modified>
</cp:coreProperties>
</file>